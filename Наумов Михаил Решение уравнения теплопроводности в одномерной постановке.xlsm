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Михаил\Desktop\"/>
    </mc:Choice>
  </mc:AlternateContent>
  <bookViews>
    <workbookView xWindow="0" yWindow="0" windowWidth="23040" windowHeight="9192" activeTab="1"/>
  </bookViews>
  <sheets>
    <sheet name="Граничные условия 1 рода" sheetId="1" r:id="rId1"/>
    <sheet name="Граничные условия 2 рода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6" i="2" l="1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AH16" i="2"/>
  <c r="AI16" i="2"/>
  <c r="F16" i="2"/>
  <c r="F13" i="2" s="1"/>
  <c r="G16" i="2" s="1"/>
  <c r="AJ13" i="2"/>
  <c r="C4" i="2"/>
  <c r="G12" i="2" s="1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C5" i="2" l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G15" i="1"/>
  <c r="C5" i="1"/>
  <c r="AJ13" i="1"/>
  <c r="F13" i="1"/>
  <c r="C4" i="1"/>
  <c r="G12" i="1" s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AI15" i="2" l="1"/>
  <c r="AH15" i="2"/>
  <c r="AG15" i="2"/>
  <c r="Y15" i="2"/>
  <c r="Q15" i="2"/>
  <c r="I15" i="2"/>
  <c r="X15" i="2"/>
  <c r="P15" i="2"/>
  <c r="H15" i="2"/>
  <c r="W15" i="2"/>
  <c r="O15" i="2"/>
  <c r="G15" i="2"/>
  <c r="V15" i="2"/>
  <c r="AF15" i="2"/>
  <c r="AE15" i="2"/>
  <c r="AC15" i="2"/>
  <c r="U15" i="2"/>
  <c r="M15" i="2"/>
  <c r="AB15" i="2"/>
  <c r="T15" i="2"/>
  <c r="L15" i="2"/>
  <c r="AA15" i="2"/>
  <c r="S15" i="2"/>
  <c r="K15" i="2"/>
  <c r="Z15" i="2"/>
  <c r="R15" i="2"/>
  <c r="J15" i="2"/>
  <c r="AD15" i="2"/>
  <c r="N15" i="2"/>
</calcChain>
</file>

<file path=xl/sharedStrings.xml><?xml version="1.0" encoding="utf-8"?>
<sst xmlns="http://schemas.openxmlformats.org/spreadsheetml/2006/main" count="25" uniqueCount="13">
  <si>
    <t>L</t>
  </si>
  <si>
    <t>dx</t>
  </si>
  <si>
    <t>dt</t>
  </si>
  <si>
    <t>t</t>
  </si>
  <si>
    <t>Cp</t>
  </si>
  <si>
    <t>ro</t>
  </si>
  <si>
    <t>lamda</t>
  </si>
  <si>
    <t>T</t>
  </si>
  <si>
    <t>T_start</t>
  </si>
  <si>
    <t>T_end</t>
  </si>
  <si>
    <t>T_iter</t>
  </si>
  <si>
    <t>q</t>
  </si>
  <si>
    <t>q_start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</si>
</sst>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"/>
    <numFmt numFmtId="165" formatCode="0.000"/>
  </numFmts>
  <fonts count="2" x14ac:knownFonts="1">
    <font>
      <sz val="11"/>
      <color theme="1"/>
      <name val="Calibri"/>
      <family val="2"/>
      <charset val="204"/>
      <scheme val="minor"/>
    </font>
    <font>
      <b/>
      <i/>
      <sz val="14"/>
      <color rgb="FF000000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'Граничные условия 1 рода'!$F$12:$AJ$12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 formatCode="0.000">
                  <c:v>6.6666666666666671E-3</c:v>
                </c:pt>
                <c:pt idx="3" formatCode="0.000">
                  <c:v>0.01</c:v>
                </c:pt>
                <c:pt idx="4" formatCode="0.000">
                  <c:v>1.3333333333333334E-2</c:v>
                </c:pt>
                <c:pt idx="5" formatCode="0.000">
                  <c:v>1.6666666666666666E-2</c:v>
                </c:pt>
                <c:pt idx="6" formatCode="0.000">
                  <c:v>0.02</c:v>
                </c:pt>
                <c:pt idx="7" formatCode="0.000">
                  <c:v>2.3333333333333334E-2</c:v>
                </c:pt>
                <c:pt idx="8" formatCode="0.000">
                  <c:v>2.6666666666666668E-2</c:v>
                </c:pt>
                <c:pt idx="9" formatCode="0.000">
                  <c:v>3.0000000000000002E-2</c:v>
                </c:pt>
                <c:pt idx="10" formatCode="0.000">
                  <c:v>3.3333333333333333E-2</c:v>
                </c:pt>
                <c:pt idx="11" formatCode="0.000">
                  <c:v>3.6666666666666667E-2</c:v>
                </c:pt>
                <c:pt idx="12" formatCode="0.000">
                  <c:v>0.04</c:v>
                </c:pt>
                <c:pt idx="13" formatCode="0.000">
                  <c:v>4.3333333333333335E-2</c:v>
                </c:pt>
                <c:pt idx="14" formatCode="0.000">
                  <c:v>4.6666666666666669E-2</c:v>
                </c:pt>
                <c:pt idx="15" formatCode="0.000">
                  <c:v>0.05</c:v>
                </c:pt>
                <c:pt idx="16" formatCode="0.000">
                  <c:v>5.3333333333333337E-2</c:v>
                </c:pt>
                <c:pt idx="17" formatCode="0.000">
                  <c:v>5.6666666666666671E-2</c:v>
                </c:pt>
                <c:pt idx="18" formatCode="0.000">
                  <c:v>6.0000000000000005E-2</c:v>
                </c:pt>
                <c:pt idx="19" formatCode="0.000">
                  <c:v>6.3333333333333339E-2</c:v>
                </c:pt>
                <c:pt idx="20" formatCode="0.000">
                  <c:v>6.6666666666666666E-2</c:v>
                </c:pt>
                <c:pt idx="21" formatCode="0.000">
                  <c:v>6.9999999999999993E-2</c:v>
                </c:pt>
                <c:pt idx="22" formatCode="0.000">
                  <c:v>7.333333333333332E-2</c:v>
                </c:pt>
                <c:pt idx="23" formatCode="0.000">
                  <c:v>7.6666666666666647E-2</c:v>
                </c:pt>
                <c:pt idx="24" formatCode="0.000">
                  <c:v>7.9999999999999974E-2</c:v>
                </c:pt>
                <c:pt idx="25" formatCode="0.000">
                  <c:v>8.3333333333333301E-2</c:v>
                </c:pt>
                <c:pt idx="26" formatCode="0.000">
                  <c:v>8.6666666666666628E-2</c:v>
                </c:pt>
                <c:pt idx="27" formatCode="0.000">
                  <c:v>8.9999999999999955E-2</c:v>
                </c:pt>
                <c:pt idx="28" formatCode="0.000">
                  <c:v>9.3333333333333282E-2</c:v>
                </c:pt>
                <c:pt idx="29" formatCode="0.000">
                  <c:v>9.6666666666666609E-2</c:v>
                </c:pt>
                <c:pt idx="30" formatCode="0.000">
                  <c:v>9.9999999999999936E-2</c:v>
                </c:pt>
              </c:numCache>
            </c:numRef>
          </c:xVal>
          <c:yVal>
            <c:numRef>
              <c:f>'Граничные условия 1 рода'!$F$13:$AJ$13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291.62254159925021</c:v>
                </c:pt>
                <c:pt idx="2">
                  <c:v>283.28248182349404</c:v>
                </c:pt>
                <c:pt idx="3">
                  <c:v>274.94242204773786</c:v>
                </c:pt>
                <c:pt idx="4">
                  <c:v>266.71292127510145</c:v>
                </c:pt>
                <c:pt idx="5">
                  <c:v>258.48342050246504</c:v>
                </c:pt>
                <c:pt idx="6">
                  <c:v>250.43280044487551</c:v>
                </c:pt>
                <c:pt idx="7">
                  <c:v>242.38218038728598</c:v>
                </c:pt>
                <c:pt idx="8">
                  <c:v>234.57093492882029</c:v>
                </c:pt>
                <c:pt idx="9">
                  <c:v>226.7596894703546</c:v>
                </c:pt>
                <c:pt idx="10">
                  <c:v>219.23783932797062</c:v>
                </c:pt>
                <c:pt idx="11">
                  <c:v>211.71598918558661</c:v>
                </c:pt>
                <c:pt idx="12">
                  <c:v>204.52089625978249</c:v>
                </c:pt>
                <c:pt idx="13">
                  <c:v>197.32580333397826</c:v>
                </c:pt>
                <c:pt idx="14">
                  <c:v>190.48054018697056</c:v>
                </c:pt>
                <c:pt idx="15">
                  <c:v>183.63527703996272</c:v>
                </c:pt>
                <c:pt idx="16">
                  <c:v>177.14762235277331</c:v>
                </c:pt>
                <c:pt idx="17">
                  <c:v>170.65996766558379</c:v>
                </c:pt>
                <c:pt idx="18">
                  <c:v>164.52207091361547</c:v>
                </c:pt>
                <c:pt idx="19">
                  <c:v>158.38417416164702</c:v>
                </c:pt>
                <c:pt idx="20">
                  <c:v>152.5729033615147</c:v>
                </c:pt>
                <c:pt idx="21">
                  <c:v>146.7616325613823</c:v>
                </c:pt>
                <c:pt idx="22">
                  <c:v>141.23958908828615</c:v>
                </c:pt>
                <c:pt idx="23">
                  <c:v>135.71754561518986</c:v>
                </c:pt>
                <c:pt idx="24">
                  <c:v>130.43470107470233</c:v>
                </c:pt>
                <c:pt idx="25">
                  <c:v>125.15185653421467</c:v>
                </c:pt>
                <c:pt idx="26">
                  <c:v>120.0477397391255</c:v>
                </c:pt>
                <c:pt idx="27">
                  <c:v>114.94362294403626</c:v>
                </c:pt>
                <c:pt idx="28">
                  <c:v>109.94996132912691</c:v>
                </c:pt>
                <c:pt idx="29">
                  <c:v>104.95629971421751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C54-438D-9D5B-7482B5D944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265728"/>
        <c:axId val="224266384"/>
      </c:scatterChart>
      <c:valAx>
        <c:axId val="22426572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4266384"/>
        <c:crosses val="autoZero"/>
        <c:crossBetween val="midCat"/>
      </c:valAx>
      <c:valAx>
        <c:axId val="2242663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4265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'Граничные условия 2 рода'!$F$12:$AJ$12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 formatCode="0.000">
                  <c:v>6.6666666666666671E-3</c:v>
                </c:pt>
                <c:pt idx="3" formatCode="0.000">
                  <c:v>0.01</c:v>
                </c:pt>
                <c:pt idx="4" formatCode="0.000">
                  <c:v>1.3333333333333334E-2</c:v>
                </c:pt>
                <c:pt idx="5" formatCode="0.000">
                  <c:v>1.6666666666666666E-2</c:v>
                </c:pt>
                <c:pt idx="6" formatCode="0.000">
                  <c:v>0.02</c:v>
                </c:pt>
                <c:pt idx="7" formatCode="0.000">
                  <c:v>2.3333333333333334E-2</c:v>
                </c:pt>
                <c:pt idx="8" formatCode="0.000">
                  <c:v>2.6666666666666668E-2</c:v>
                </c:pt>
                <c:pt idx="9" formatCode="0.000">
                  <c:v>3.0000000000000002E-2</c:v>
                </c:pt>
                <c:pt idx="10" formatCode="0.000">
                  <c:v>3.3333333333333333E-2</c:v>
                </c:pt>
                <c:pt idx="11" formatCode="0.000">
                  <c:v>3.6666666666666667E-2</c:v>
                </c:pt>
                <c:pt idx="12" formatCode="0.000">
                  <c:v>0.04</c:v>
                </c:pt>
                <c:pt idx="13" formatCode="0.000">
                  <c:v>4.3333333333333335E-2</c:v>
                </c:pt>
                <c:pt idx="14" formatCode="0.000">
                  <c:v>4.6666666666666669E-2</c:v>
                </c:pt>
                <c:pt idx="15" formatCode="0.000">
                  <c:v>0.05</c:v>
                </c:pt>
                <c:pt idx="16" formatCode="0.000">
                  <c:v>5.3333333333333337E-2</c:v>
                </c:pt>
                <c:pt idx="17" formatCode="0.000">
                  <c:v>5.6666666666666671E-2</c:v>
                </c:pt>
                <c:pt idx="18" formatCode="0.000">
                  <c:v>6.0000000000000005E-2</c:v>
                </c:pt>
                <c:pt idx="19" formatCode="0.000">
                  <c:v>6.3333333333333339E-2</c:v>
                </c:pt>
                <c:pt idx="20" formatCode="0.000">
                  <c:v>6.6666666666666666E-2</c:v>
                </c:pt>
                <c:pt idx="21" formatCode="0.000">
                  <c:v>6.9999999999999993E-2</c:v>
                </c:pt>
                <c:pt idx="22" formatCode="0.000">
                  <c:v>7.333333333333332E-2</c:v>
                </c:pt>
                <c:pt idx="23" formatCode="0.000">
                  <c:v>7.6666666666666647E-2</c:v>
                </c:pt>
                <c:pt idx="24" formatCode="0.000">
                  <c:v>7.9999999999999974E-2</c:v>
                </c:pt>
                <c:pt idx="25" formatCode="0.000">
                  <c:v>8.3333333333333301E-2</c:v>
                </c:pt>
                <c:pt idx="26" formatCode="0.000">
                  <c:v>8.6666666666666628E-2</c:v>
                </c:pt>
                <c:pt idx="27" formatCode="0.000">
                  <c:v>8.9999999999999955E-2</c:v>
                </c:pt>
                <c:pt idx="28" formatCode="0.000">
                  <c:v>9.3333333333333282E-2</c:v>
                </c:pt>
                <c:pt idx="29" formatCode="0.000">
                  <c:v>9.6666666666666609E-2</c:v>
                </c:pt>
                <c:pt idx="30" formatCode="0.000">
                  <c:v>9.9999999999999936E-2</c:v>
                </c:pt>
              </c:numCache>
            </c:numRef>
          </c:xVal>
          <c:yVal>
            <c:numRef>
              <c:f>'Граничные условия 2 рода'!$F$13:$AJ$13</c:f>
              <c:numCache>
                <c:formatCode>General</c:formatCode>
                <c:ptCount val="31"/>
                <c:pt idx="0">
                  <c:v>299.76152995395427</c:v>
                </c:pt>
                <c:pt idx="1">
                  <c:v>293.09486328728758</c:v>
                </c:pt>
                <c:pt idx="2">
                  <c:v>286.42887258987537</c:v>
                </c:pt>
                <c:pt idx="3">
                  <c:v>279.76355594560931</c:v>
                </c:pt>
                <c:pt idx="4">
                  <c:v>273.09890952770422</c:v>
                </c:pt>
                <c:pt idx="5">
                  <c:v>266.43492760954553</c:v>
                </c:pt>
                <c:pt idx="6">
                  <c:v>259.77160258092186</c:v>
                </c:pt>
                <c:pt idx="7">
                  <c:v>253.1089249695971</c:v>
                </c:pt>
                <c:pt idx="8">
                  <c:v>246.44688346816059</c:v>
                </c:pt>
                <c:pt idx="9">
                  <c:v>239.78546496607885</c:v>
                </c:pt>
                <c:pt idx="10">
                  <c:v>233.12465458685932</c:v>
                </c:pt>
                <c:pt idx="11">
                  <c:v>226.46443573021875</c:v>
                </c:pt>
                <c:pt idx="12">
                  <c:v>219.80479011913943</c:v>
                </c:pt>
                <c:pt idx="13">
                  <c:v>213.14569785167603</c:v>
                </c:pt>
                <c:pt idx="14">
                  <c:v>206.4871374573716</c:v>
                </c:pt>
                <c:pt idx="15">
                  <c:v>199.82908595811583</c:v>
                </c:pt>
                <c:pt idx="16">
                  <c:v>193.17151893328128</c:v>
                </c:pt>
                <c:pt idx="17">
                  <c:v>186.51441058894395</c:v>
                </c:pt>
                <c:pt idx="18">
                  <c:v>179.85773383100135</c:v>
                </c:pt>
                <c:pt idx="19">
                  <c:v>173.20146034197114</c:v>
                </c:pt>
                <c:pt idx="20">
                  <c:v>166.54556066126284</c:v>
                </c:pt>
                <c:pt idx="21">
                  <c:v>159.89000426868424</c:v>
                </c:pt>
                <c:pt idx="22">
                  <c:v>153.23475967095703</c:v>
                </c:pt>
                <c:pt idx="23">
                  <c:v>146.57979449098519</c:v>
                </c:pt>
                <c:pt idx="24">
                  <c:v>139.925075559634</c:v>
                </c:pt>
                <c:pt idx="25">
                  <c:v>133.27056900974901</c:v>
                </c:pt>
                <c:pt idx="26">
                  <c:v>126.61624037215859</c:v>
                </c:pt>
                <c:pt idx="27">
                  <c:v>119.96205467337839</c:v>
                </c:pt>
                <c:pt idx="28">
                  <c:v>113.30797653474929</c:v>
                </c:pt>
                <c:pt idx="29">
                  <c:v>106.65397027272058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7D0-4787-BD05-799B47E927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5864720"/>
        <c:axId val="405865048"/>
      </c:scatterChart>
      <c:valAx>
        <c:axId val="40586472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5865048"/>
        <c:crosses val="autoZero"/>
        <c:crossBetween val="midCat"/>
      </c:valAx>
      <c:valAx>
        <c:axId val="405865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5864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17</xdr:row>
      <xdr:rowOff>171450</xdr:rowOff>
    </xdr:from>
    <xdr:to>
      <xdr:col>21</xdr:col>
      <xdr:colOff>406400</xdr:colOff>
      <xdr:row>47</xdr:row>
      <xdr:rowOff>165100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9</xdr:col>
      <xdr:colOff>38100</xdr:colOff>
      <xdr:row>18</xdr:row>
      <xdr:rowOff>63500</xdr:rowOff>
    </xdr:from>
    <xdr:ext cx="558800" cy="279400"/>
    <xdr:sp macro="" textlink="">
      <xdr:nvSpPr>
        <xdr:cNvPr id="3" name="TextBox 2"/>
        <xdr:cNvSpPr txBox="1"/>
      </xdr:nvSpPr>
      <xdr:spPr>
        <a:xfrm>
          <a:off x="4965700" y="3263900"/>
          <a:ext cx="558800" cy="27940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pPr algn="ctr"/>
          <a:r>
            <a:rPr lang="en-US" sz="1400" b="1" i="1"/>
            <a:t>T</a:t>
          </a:r>
          <a:r>
            <a:rPr lang="en-US" sz="1400" b="1" i="1" baseline="0"/>
            <a:t> (C)</a:t>
          </a:r>
          <a:endParaRPr lang="ru-RU" sz="1400" b="1" i="1"/>
        </a:p>
      </xdr:txBody>
    </xdr:sp>
    <xdr:clientData/>
  </xdr:oneCellAnchor>
  <xdr:oneCellAnchor>
    <xdr:from>
      <xdr:col>20</xdr:col>
      <xdr:colOff>330200</xdr:colOff>
      <xdr:row>46</xdr:row>
      <xdr:rowOff>1</xdr:rowOff>
    </xdr:from>
    <xdr:ext cx="406400" cy="26669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10007600" y="8229601"/>
              <a:ext cx="406400" cy="266699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1" i="1">
                        <a:latin typeface="Cambria Math" panose="02040503050406030204" pitchFamily="18" charset="0"/>
                      </a:rPr>
                      <m:t>𝑳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,(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𝒎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ru-RU" sz="1100" b="1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10007600" y="8229601"/>
              <a:ext cx="406400" cy="266699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1400" b="1" i="0">
                  <a:latin typeface="Cambria Math" panose="02040503050406030204" pitchFamily="18" charset="0"/>
                </a:rPr>
                <a:t>𝑳,(𝒎)</a:t>
              </a:r>
              <a:endParaRPr lang="ru-RU" sz="1100" b="1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12700</xdr:colOff>
      <xdr:row>18</xdr:row>
      <xdr:rowOff>0</xdr:rowOff>
    </xdr:from>
    <xdr:to>
      <xdr:col>20</xdr:col>
      <xdr:colOff>0</xdr:colOff>
      <xdr:row>48</xdr:row>
      <xdr:rowOff>25400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19</xdr:col>
      <xdr:colOff>25400</xdr:colOff>
      <xdr:row>46</xdr:row>
      <xdr:rowOff>88901</xdr:rowOff>
    </xdr:from>
    <xdr:ext cx="584200" cy="241299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6" name="TextBox 5"/>
            <xdr:cNvSpPr txBox="1"/>
          </xdr:nvSpPr>
          <xdr:spPr>
            <a:xfrm>
              <a:off x="11607800" y="8318501"/>
              <a:ext cx="584200" cy="241299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1" i="1">
                        <a:latin typeface="Cambria Math" panose="02040503050406030204" pitchFamily="18" charset="0"/>
                      </a:rPr>
                      <m:t>𝑳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,(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𝒎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ru-RU" sz="1100" b="1"/>
            </a:p>
          </xdr:txBody>
        </xdr:sp>
      </mc:Choice>
      <mc:Fallback>
        <xdr:sp macro="" textlink="">
          <xdr:nvSpPr>
            <xdr:cNvPr id="6" name="TextBox 5"/>
            <xdr:cNvSpPr txBox="1"/>
          </xdr:nvSpPr>
          <xdr:spPr>
            <a:xfrm>
              <a:off x="11607800" y="8318501"/>
              <a:ext cx="584200" cy="241299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n-US" sz="1400" b="1" i="0">
                  <a:latin typeface="Cambria Math" panose="02040503050406030204" pitchFamily="18" charset="0"/>
                </a:rPr>
                <a:t>𝑳,(𝒎)</a:t>
              </a:r>
              <a:endParaRPr lang="ru-RU" sz="1100" b="1"/>
            </a:p>
          </xdr:txBody>
        </xdr:sp>
      </mc:Fallback>
    </mc:AlternateContent>
    <xdr:clientData/>
  </xdr:oneCellAnchor>
  <xdr:oneCellAnchor>
    <xdr:from>
      <xdr:col>10</xdr:col>
      <xdr:colOff>43180</xdr:colOff>
      <xdr:row>18</xdr:row>
      <xdr:rowOff>53340</xdr:rowOff>
    </xdr:from>
    <xdr:ext cx="558800" cy="279400"/>
    <xdr:sp macro="" textlink="">
      <xdr:nvSpPr>
        <xdr:cNvPr id="8" name="TextBox 7"/>
        <xdr:cNvSpPr txBox="1"/>
      </xdr:nvSpPr>
      <xdr:spPr>
        <a:xfrm>
          <a:off x="6139180" y="3253740"/>
          <a:ext cx="558800" cy="27940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pPr algn="ctr"/>
          <a:r>
            <a:rPr lang="en-US" sz="1400" b="1" i="1"/>
            <a:t>T</a:t>
          </a:r>
          <a:r>
            <a:rPr lang="en-US" sz="1400" b="1" i="1" baseline="0"/>
            <a:t> (C)</a:t>
          </a:r>
          <a:endParaRPr lang="ru-RU" sz="1400" b="1" i="1"/>
        </a:p>
      </xdr:txBody>
    </xdr:sp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3:AJ32"/>
  <sheetViews>
    <sheetView zoomScale="60" zoomScaleNormal="60" workbookViewId="0">
      <selection activeCell="E16" sqref="E16"/>
    </sheetView>
  </sheetViews>
  <sheetFormatPr defaultRowHeight="14.4" x14ac:dyDescent="0.3"/>
  <cols>
    <col min="6" max="7" width="7.33203125" bestFit="1" customWidth="1"/>
    <col min="8" max="36" width="6.21875" bestFit="1" customWidth="1"/>
  </cols>
  <sheetData>
    <row r="3" spans="1:36" x14ac:dyDescent="0.3">
      <c r="B3" s="1" t="s">
        <v>0</v>
      </c>
      <c r="C3" s="1">
        <v>0.1</v>
      </c>
    </row>
    <row r="4" spans="1:36" x14ac:dyDescent="0.3">
      <c r="B4" s="1" t="s">
        <v>1</v>
      </c>
      <c r="C4" s="3">
        <f>C3/30</f>
        <v>3.3333333333333335E-3</v>
      </c>
    </row>
    <row r="5" spans="1:36" x14ac:dyDescent="0.3">
      <c r="B5" s="1" t="s">
        <v>2</v>
      </c>
      <c r="C5" s="3">
        <f>(C9*C8*C4^2)/(2*C10)</f>
        <v>0.4333333333333334</v>
      </c>
    </row>
    <row r="6" spans="1:36" x14ac:dyDescent="0.3">
      <c r="B6" s="1" t="s">
        <v>3</v>
      </c>
      <c r="C6" s="1">
        <v>500</v>
      </c>
      <c r="D6">
        <v>500.43333333333334</v>
      </c>
    </row>
    <row r="7" spans="1:36" x14ac:dyDescent="0.3">
      <c r="A7" s="5"/>
      <c r="B7" s="6"/>
      <c r="C7" s="6"/>
      <c r="D7" s="5"/>
    </row>
    <row r="8" spans="1:36" x14ac:dyDescent="0.3">
      <c r="B8" s="1" t="s">
        <v>4</v>
      </c>
      <c r="C8" s="1">
        <v>460</v>
      </c>
    </row>
    <row r="9" spans="1:36" x14ac:dyDescent="0.3">
      <c r="B9" s="1" t="s">
        <v>5</v>
      </c>
      <c r="C9" s="1">
        <v>7800</v>
      </c>
    </row>
    <row r="10" spans="1:36" x14ac:dyDescent="0.3">
      <c r="B10" s="1" t="s">
        <v>6</v>
      </c>
      <c r="C10" s="1">
        <v>46</v>
      </c>
    </row>
    <row r="11" spans="1:36" x14ac:dyDescent="0.3">
      <c r="A11" s="5"/>
      <c r="B11" s="6"/>
      <c r="C11" s="6"/>
      <c r="D11" s="5"/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1:36" x14ac:dyDescent="0.3">
      <c r="B12" s="1" t="s">
        <v>8</v>
      </c>
      <c r="C12" s="1">
        <v>300</v>
      </c>
      <c r="E12" t="s">
        <v>0</v>
      </c>
      <c r="F12" s="2">
        <v>0</v>
      </c>
      <c r="G12" s="2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1:36" x14ac:dyDescent="0.3">
      <c r="B13" s="1" t="s">
        <v>9</v>
      </c>
      <c r="C13" s="1">
        <v>100</v>
      </c>
      <c r="E13" t="s">
        <v>7</v>
      </c>
      <c r="F13" s="4">
        <f>C12</f>
        <v>300</v>
      </c>
      <c r="G13" s="4">
        <v>291.62254159925021</v>
      </c>
      <c r="H13" s="4">
        <v>283.28248182349404</v>
      </c>
      <c r="I13" s="4">
        <v>274.94242204773786</v>
      </c>
      <c r="J13" s="4">
        <v>266.71292127510145</v>
      </c>
      <c r="K13" s="4">
        <v>258.48342050246504</v>
      </c>
      <c r="L13" s="4">
        <v>250.43280044487551</v>
      </c>
      <c r="M13" s="4">
        <v>242.38218038728598</v>
      </c>
      <c r="N13" s="4">
        <v>234.57093492882029</v>
      </c>
      <c r="O13" s="4">
        <v>226.7596894703546</v>
      </c>
      <c r="P13" s="4">
        <v>219.23783932797062</v>
      </c>
      <c r="Q13" s="4">
        <v>211.71598918558661</v>
      </c>
      <c r="R13" s="4">
        <v>204.52089625978249</v>
      </c>
      <c r="S13" s="4">
        <v>197.32580333397826</v>
      </c>
      <c r="T13" s="4">
        <v>190.48054018697056</v>
      </c>
      <c r="U13" s="4">
        <v>183.63527703996272</v>
      </c>
      <c r="V13" s="4">
        <v>177.14762235277331</v>
      </c>
      <c r="W13" s="4">
        <v>170.65996766558379</v>
      </c>
      <c r="X13" s="4">
        <v>164.52207091361547</v>
      </c>
      <c r="Y13" s="4">
        <v>158.38417416164702</v>
      </c>
      <c r="Z13" s="4">
        <v>152.5729033615147</v>
      </c>
      <c r="AA13" s="4">
        <v>146.7616325613823</v>
      </c>
      <c r="AB13" s="4">
        <v>141.23958908828615</v>
      </c>
      <c r="AC13" s="4">
        <v>135.71754561518986</v>
      </c>
      <c r="AD13" s="4">
        <v>130.43470107470233</v>
      </c>
      <c r="AE13" s="4">
        <v>125.15185653421467</v>
      </c>
      <c r="AF13" s="4">
        <v>120.0477397391255</v>
      </c>
      <c r="AG13" s="4">
        <v>114.94362294403626</v>
      </c>
      <c r="AH13" s="4">
        <v>109.94996132912691</v>
      </c>
      <c r="AI13" s="4">
        <v>104.95629971421751</v>
      </c>
      <c r="AJ13" s="4">
        <f>C13</f>
        <v>100</v>
      </c>
    </row>
    <row r="15" spans="1:36" x14ac:dyDescent="0.3">
      <c r="E15" t="s">
        <v>10</v>
      </c>
      <c r="G15" s="4">
        <f>G13+(($C$10*$C$5)/($C$9*$C$8))*((H13-2*G13+F13)/($C$4^2))</f>
        <v>291.64124091174699</v>
      </c>
      <c r="H15" s="4">
        <f t="shared" ref="H15:AI15" si="1">H13+(($C$10*$C$5)/($C$9*$C$8))*((I13-2*H13+G13)/($C$4^2))</f>
        <v>283.28248182349404</v>
      </c>
      <c r="I15" s="4">
        <f t="shared" si="1"/>
        <v>274.99770154929774</v>
      </c>
      <c r="J15" s="4">
        <f t="shared" si="1"/>
        <v>266.71292127510145</v>
      </c>
      <c r="K15" s="4">
        <f t="shared" si="1"/>
        <v>258.57286085998851</v>
      </c>
      <c r="L15" s="4">
        <f t="shared" si="1"/>
        <v>250.43280044487551</v>
      </c>
      <c r="M15" s="4">
        <f t="shared" si="1"/>
        <v>242.5018676868479</v>
      </c>
      <c r="N15" s="4">
        <f t="shared" si="1"/>
        <v>234.57093492882029</v>
      </c>
      <c r="O15" s="4">
        <f t="shared" si="1"/>
        <v>226.90438712839546</v>
      </c>
      <c r="P15" s="4">
        <f t="shared" si="1"/>
        <v>219.23783932797062</v>
      </c>
      <c r="Q15" s="4">
        <f t="shared" si="1"/>
        <v>211.87936779387655</v>
      </c>
      <c r="R15" s="4">
        <f t="shared" si="1"/>
        <v>204.52089625978243</v>
      </c>
      <c r="S15" s="4">
        <f t="shared" si="1"/>
        <v>197.50071822337651</v>
      </c>
      <c r="T15" s="4">
        <f t="shared" si="1"/>
        <v>190.48054018697047</v>
      </c>
      <c r="U15" s="4">
        <f t="shared" si="1"/>
        <v>183.81408126987193</v>
      </c>
      <c r="V15" s="4">
        <f t="shared" si="1"/>
        <v>177.14762235277325</v>
      </c>
      <c r="W15" s="4">
        <f t="shared" si="1"/>
        <v>170.83484663319439</v>
      </c>
      <c r="X15" s="4">
        <f t="shared" si="1"/>
        <v>164.52207091361541</v>
      </c>
      <c r="Y15" s="4">
        <f t="shared" si="1"/>
        <v>158.5474871375651</v>
      </c>
      <c r="Z15" s="4">
        <f t="shared" si="1"/>
        <v>152.57290336151465</v>
      </c>
      <c r="AA15" s="4">
        <f t="shared" si="1"/>
        <v>146.90624622490043</v>
      </c>
      <c r="AB15" s="4">
        <f t="shared" si="1"/>
        <v>141.2395890882861</v>
      </c>
      <c r="AC15" s="4">
        <f t="shared" si="1"/>
        <v>135.83714508149424</v>
      </c>
      <c r="AD15" s="4">
        <f t="shared" si="1"/>
        <v>130.43470107470228</v>
      </c>
      <c r="AE15" s="4">
        <f t="shared" si="1"/>
        <v>125.24122040691391</v>
      </c>
      <c r="AF15" s="4">
        <f t="shared" si="1"/>
        <v>120.04773973912546</v>
      </c>
      <c r="AG15" s="4">
        <f t="shared" si="1"/>
        <v>114.99885053412621</v>
      </c>
      <c r="AH15" s="4">
        <f t="shared" si="1"/>
        <v>109.94996132912689</v>
      </c>
      <c r="AI15" s="4">
        <f t="shared" si="1"/>
        <v>104.97498066456345</v>
      </c>
    </row>
    <row r="32" spans="28:28" ht="18" x14ac:dyDescent="0.3">
      <c r="AB32" s="7"/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AJ32"/>
  <sheetViews>
    <sheetView tabSelected="1" zoomScale="60" zoomScaleNormal="60" workbookViewId="0">
      <selection activeCell="AI49" sqref="AI49"/>
    </sheetView>
  </sheetViews>
  <sheetFormatPr defaultRowHeight="14.4" x14ac:dyDescent="0.3"/>
  <sheetData>
    <row r="3" spans="1:36" x14ac:dyDescent="0.3">
      <c r="B3" s="1" t="s">
        <v>0</v>
      </c>
      <c r="C3" s="1">
        <v>0.1</v>
      </c>
    </row>
    <row r="4" spans="1:36" x14ac:dyDescent="0.3">
      <c r="B4" s="1" t="s">
        <v>1</v>
      </c>
      <c r="C4" s="3">
        <f>C3/30</f>
        <v>3.3333333333333335E-3</v>
      </c>
    </row>
    <row r="5" spans="1:36" x14ac:dyDescent="0.3">
      <c r="B5" s="1" t="s">
        <v>2</v>
      </c>
      <c r="C5" s="3">
        <f>(C9*C8*C4^2)/(2*C10)</f>
        <v>0.4333333333333334</v>
      </c>
    </row>
    <row r="6" spans="1:36" x14ac:dyDescent="0.3">
      <c r="B6" s="1" t="s">
        <v>3</v>
      </c>
      <c r="C6" s="1">
        <v>5000</v>
      </c>
      <c r="D6">
        <v>5000.4333333333334</v>
      </c>
    </row>
    <row r="7" spans="1:36" x14ac:dyDescent="0.3">
      <c r="A7" s="5"/>
      <c r="B7" s="6"/>
      <c r="C7" s="6"/>
      <c r="D7" s="5"/>
    </row>
    <row r="8" spans="1:36" x14ac:dyDescent="0.3">
      <c r="B8" s="1" t="s">
        <v>4</v>
      </c>
      <c r="C8" s="1">
        <v>460</v>
      </c>
    </row>
    <row r="9" spans="1:36" x14ac:dyDescent="0.3">
      <c r="B9" s="1" t="s">
        <v>5</v>
      </c>
      <c r="C9" s="1">
        <v>7800</v>
      </c>
    </row>
    <row r="10" spans="1:36" x14ac:dyDescent="0.3">
      <c r="B10" s="1" t="s">
        <v>6</v>
      </c>
      <c r="C10" s="1">
        <v>46</v>
      </c>
    </row>
    <row r="11" spans="1:36" x14ac:dyDescent="0.3">
      <c r="A11" s="5"/>
      <c r="B11" s="6"/>
      <c r="C11" s="6"/>
      <c r="D11" s="5"/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1:36" x14ac:dyDescent="0.3">
      <c r="B12" s="1" t="s">
        <v>12</v>
      </c>
      <c r="C12" s="1">
        <v>92000</v>
      </c>
      <c r="E12" t="s">
        <v>0</v>
      </c>
      <c r="F12" s="2">
        <v>0</v>
      </c>
      <c r="G12" s="2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1:36" x14ac:dyDescent="0.3">
      <c r="B13" s="1" t="s">
        <v>9</v>
      </c>
      <c r="C13" s="1">
        <v>100</v>
      </c>
      <c r="E13" t="s">
        <v>7</v>
      </c>
      <c r="F13" s="4">
        <f>(F16/C10)*C4+G13</f>
        <v>299.76152995395427</v>
      </c>
      <c r="G13" s="4">
        <v>293.09486328728758</v>
      </c>
      <c r="H13" s="4">
        <v>286.42887258987537</v>
      </c>
      <c r="I13" s="4">
        <v>279.76355594560931</v>
      </c>
      <c r="J13" s="4">
        <v>273.09890952770422</v>
      </c>
      <c r="K13" s="4">
        <v>266.43492760954553</v>
      </c>
      <c r="L13" s="4">
        <v>259.77160258092186</v>
      </c>
      <c r="M13" s="4">
        <v>253.1089249695971</v>
      </c>
      <c r="N13" s="4">
        <v>246.44688346816059</v>
      </c>
      <c r="O13" s="4">
        <v>239.78546496607885</v>
      </c>
      <c r="P13" s="4">
        <v>233.12465458685932</v>
      </c>
      <c r="Q13" s="4">
        <v>226.46443573021875</v>
      </c>
      <c r="R13" s="4">
        <v>219.80479011913943</v>
      </c>
      <c r="S13" s="4">
        <v>213.14569785167603</v>
      </c>
      <c r="T13" s="4">
        <v>206.4871374573716</v>
      </c>
      <c r="U13" s="4">
        <v>199.82908595811583</v>
      </c>
      <c r="V13" s="4">
        <v>193.17151893328128</v>
      </c>
      <c r="W13" s="4">
        <v>186.51441058894395</v>
      </c>
      <c r="X13" s="4">
        <v>179.85773383100135</v>
      </c>
      <c r="Y13" s="4">
        <v>173.20146034197114</v>
      </c>
      <c r="Z13" s="4">
        <v>166.54556066126284</v>
      </c>
      <c r="AA13" s="4">
        <v>159.89000426868424</v>
      </c>
      <c r="AB13" s="4">
        <v>153.23475967095703</v>
      </c>
      <c r="AC13" s="4">
        <v>146.57979449098519</v>
      </c>
      <c r="AD13" s="4">
        <v>139.925075559634</v>
      </c>
      <c r="AE13" s="4">
        <v>133.27056900974901</v>
      </c>
      <c r="AF13" s="4">
        <v>126.61624037215859</v>
      </c>
      <c r="AG13" s="4">
        <v>119.96205467337839</v>
      </c>
      <c r="AH13" s="4">
        <v>113.30797653474929</v>
      </c>
      <c r="AI13" s="4">
        <v>106.65397027272058</v>
      </c>
      <c r="AJ13" s="4">
        <f>C13</f>
        <v>100</v>
      </c>
    </row>
    <row r="15" spans="1:36" x14ac:dyDescent="0.3">
      <c r="E15" t="s">
        <v>10</v>
      </c>
      <c r="G15" s="4">
        <f>G13+(($C$10*$C$5)/($C$9*$C$8))*((H13-2*G13+F13)/($C$4^2))</f>
        <v>293.09520127191479</v>
      </c>
      <c r="H15" s="4">
        <f t="shared" ref="H15:AI15" si="1">H13+(($C$10*$C$5)/($C$9*$C$8))*((I13-2*H13+G13)/($C$4^2))</f>
        <v>286.42920961644847</v>
      </c>
      <c r="I15" s="4">
        <f t="shared" si="1"/>
        <v>279.7638910587898</v>
      </c>
      <c r="J15" s="4">
        <f t="shared" si="1"/>
        <v>273.09924177757739</v>
      </c>
      <c r="K15" s="4">
        <f t="shared" si="1"/>
        <v>266.43525605431307</v>
      </c>
      <c r="L15" s="4">
        <f t="shared" si="1"/>
        <v>259.7719262895713</v>
      </c>
      <c r="M15" s="4">
        <f t="shared" si="1"/>
        <v>253.10924302454123</v>
      </c>
      <c r="N15" s="4">
        <f t="shared" si="1"/>
        <v>246.44719496783796</v>
      </c>
      <c r="O15" s="4">
        <f t="shared" si="1"/>
        <v>239.78576902750996</v>
      </c>
      <c r="P15" s="4">
        <f t="shared" si="1"/>
        <v>233.12495034814879</v>
      </c>
      <c r="Q15" s="4">
        <f t="shared" si="1"/>
        <v>226.46472235299939</v>
      </c>
      <c r="R15" s="4">
        <f t="shared" si="1"/>
        <v>219.80506679094739</v>
      </c>
      <c r="S15" s="4">
        <f t="shared" si="1"/>
        <v>213.14596378825553</v>
      </c>
      <c r="T15" s="4">
        <f t="shared" si="1"/>
        <v>206.48739190489593</v>
      </c>
      <c r="U15" s="4">
        <f t="shared" si="1"/>
        <v>199.82932819532644</v>
      </c>
      <c r="V15" s="4">
        <f t="shared" si="1"/>
        <v>193.17174827352989</v>
      </c>
      <c r="W15" s="4">
        <f t="shared" si="1"/>
        <v>186.51462638214133</v>
      </c>
      <c r="X15" s="4">
        <f t="shared" si="1"/>
        <v>179.85793546545756</v>
      </c>
      <c r="Y15" s="4">
        <f t="shared" si="1"/>
        <v>173.2016472461321</v>
      </c>
      <c r="Z15" s="4">
        <f t="shared" si="1"/>
        <v>166.5457323053277</v>
      </c>
      <c r="AA15" s="4">
        <f t="shared" si="1"/>
        <v>159.89016016610992</v>
      </c>
      <c r="AB15" s="4">
        <f t="shared" si="1"/>
        <v>153.2348993798347</v>
      </c>
      <c r="AC15" s="4">
        <f t="shared" si="1"/>
        <v>146.57991761529553</v>
      </c>
      <c r="AD15" s="4">
        <f t="shared" si="1"/>
        <v>139.9251817503671</v>
      </c>
      <c r="AE15" s="4">
        <f t="shared" si="1"/>
        <v>133.27065796589631</v>
      </c>
      <c r="AF15" s="4">
        <f t="shared" si="1"/>
        <v>126.6163118415637</v>
      </c>
      <c r="AG15" s="4">
        <f t="shared" si="1"/>
        <v>119.96210845345394</v>
      </c>
      <c r="AH15" s="4">
        <f t="shared" si="1"/>
        <v>113.30801247304949</v>
      </c>
      <c r="AI15" s="4">
        <f t="shared" si="1"/>
        <v>106.65398826737464</v>
      </c>
    </row>
    <row r="16" spans="1:36" x14ac:dyDescent="0.3">
      <c r="E16" t="s">
        <v>11</v>
      </c>
      <c r="F16">
        <f>C12</f>
        <v>92000</v>
      </c>
      <c r="G16">
        <f>-$C$10*((G13-F13)/$C$4)</f>
        <v>92000.000000000247</v>
      </c>
      <c r="H16">
        <f t="shared" ref="H16:AI16" si="2">-$C$10*((H13-G13)/$C$4)</f>
        <v>91990.671624288516</v>
      </c>
      <c r="I16">
        <f t="shared" si="2"/>
        <v>91981.369690871565</v>
      </c>
      <c r="J16">
        <f t="shared" si="2"/>
        <v>91972.120567090227</v>
      </c>
      <c r="K16">
        <f t="shared" si="2"/>
        <v>91962.950470590018</v>
      </c>
      <c r="L16">
        <f t="shared" si="2"/>
        <v>91953.885395006495</v>
      </c>
      <c r="M16">
        <f t="shared" si="2"/>
        <v>91944.951036281782</v>
      </c>
      <c r="N16">
        <f t="shared" si="2"/>
        <v>91936.172719823764</v>
      </c>
      <c r="O16">
        <f t="shared" si="2"/>
        <v>91927.575328728068</v>
      </c>
      <c r="P16">
        <f t="shared" si="2"/>
        <v>91919.183233229458</v>
      </c>
      <c r="Q16">
        <f t="shared" si="2"/>
        <v>91911.020221639847</v>
      </c>
      <c r="R16">
        <f t="shared" si="2"/>
        <v>91903.109432894707</v>
      </c>
      <c r="S16">
        <f t="shared" si="2"/>
        <v>91895.473290994807</v>
      </c>
      <c r="T16">
        <f t="shared" si="2"/>
        <v>91888.133441401136</v>
      </c>
      <c r="U16">
        <f t="shared" si="2"/>
        <v>91881.110689729714</v>
      </c>
      <c r="V16">
        <f t="shared" si="2"/>
        <v>91874.424942716767</v>
      </c>
      <c r="W16">
        <f t="shared" si="2"/>
        <v>91868.095151855159</v>
      </c>
      <c r="X16">
        <f t="shared" si="2"/>
        <v>91862.139259607749</v>
      </c>
      <c r="Y16">
        <f t="shared" si="2"/>
        <v>91856.574148616928</v>
      </c>
      <c r="Z16">
        <f t="shared" si="2"/>
        <v>91851.415593774567</v>
      </c>
      <c r="AA16">
        <f t="shared" si="2"/>
        <v>91846.678217584718</v>
      </c>
      <c r="AB16">
        <f t="shared" si="2"/>
        <v>91842.375448635416</v>
      </c>
      <c r="AC16">
        <f t="shared" si="2"/>
        <v>91838.519483611366</v>
      </c>
      <c r="AD16">
        <f t="shared" si="2"/>
        <v>91835.121252646524</v>
      </c>
      <c r="AE16">
        <f t="shared" si="2"/>
        <v>91832.190388412797</v>
      </c>
      <c r="AF16">
        <f t="shared" si="2"/>
        <v>91829.735198747847</v>
      </c>
      <c r="AG16">
        <f t="shared" si="2"/>
        <v>91827.762643166701</v>
      </c>
      <c r="AH16">
        <f t="shared" si="2"/>
        <v>91826.27831308161</v>
      </c>
      <c r="AI16">
        <f t="shared" si="2"/>
        <v>91825.286415996074</v>
      </c>
    </row>
    <row r="32" spans="28:28" ht="18" x14ac:dyDescent="0.3">
      <c r="AB32" s="7"/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Граничные условия 1 рода</vt:lpstr>
      <vt:lpstr>Граничные условия 2 рода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2021-03-10T19:34:53Z</dcterms:created>
  <dcterms:modified xsi:type="dcterms:W3CDTF">2021-03-12T18:19:03Z</dcterms:modified>
</cp:coreProperties>
</file>