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Михаил\Desktop\"/>
    </mc:Choice>
  </mc:AlternateContent>
  <bookViews>
    <workbookView xWindow="0" yWindow="0" windowWidth="23040" windowHeight="9192"/>
  </bookViews>
  <sheets>
    <sheet name="Граничные условия 1 рода" sheetId="1" r:id="rId1"/>
    <sheet name="Граничные условия 2 рода" sheetId="2" r:id="rId2"/>
    <sheet name="Граничные условия 3 рода" sheetId="3" r:id="rId3"/>
    <sheet name="Граничные условия 4 рода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4" i="4" l="1"/>
  <c r="AC14" i="4"/>
  <c r="AB14" i="4"/>
  <c r="V14" i="4"/>
  <c r="U14" i="4"/>
  <c r="T14" i="4"/>
  <c r="N14" i="4"/>
  <c r="M14" i="4"/>
  <c r="L14" i="4"/>
  <c r="AJ11" i="4"/>
  <c r="F11" i="4"/>
  <c r="C3" i="4"/>
  <c r="AI14" i="4" s="1"/>
  <c r="AI14" i="3"/>
  <c r="AH14" i="3"/>
  <c r="AD14" i="3"/>
  <c r="AB14" i="3"/>
  <c r="AA14" i="3"/>
  <c r="Z14" i="3"/>
  <c r="V14" i="3"/>
  <c r="U14" i="3"/>
  <c r="T14" i="3"/>
  <c r="S14" i="3"/>
  <c r="R14" i="3"/>
  <c r="N14" i="3"/>
  <c r="M14" i="3"/>
  <c r="L14" i="3"/>
  <c r="K14" i="3"/>
  <c r="J14" i="3"/>
  <c r="AJ11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C3" i="3"/>
  <c r="AG14" i="3" s="1"/>
  <c r="AI14" i="2"/>
  <c r="AH14" i="2"/>
  <c r="AC14" i="2"/>
  <c r="AB14" i="2"/>
  <c r="AA14" i="2"/>
  <c r="Z14" i="2"/>
  <c r="U14" i="2"/>
  <c r="T14" i="2"/>
  <c r="S14" i="2"/>
  <c r="R14" i="2"/>
  <c r="N14" i="2"/>
  <c r="M14" i="2"/>
  <c r="L14" i="2"/>
  <c r="K14" i="2"/>
  <c r="J14" i="2"/>
  <c r="F14" i="2"/>
  <c r="F11" i="2" s="1"/>
  <c r="G14" i="2" s="1"/>
  <c r="AJ11" i="2"/>
  <c r="C3" i="2"/>
  <c r="AG14" i="2" s="1"/>
  <c r="AJ11" i="1"/>
  <c r="F11" i="1"/>
  <c r="C3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G14" i="4" l="1"/>
  <c r="W14" i="4"/>
  <c r="H14" i="4"/>
  <c r="P14" i="4"/>
  <c r="X14" i="4"/>
  <c r="AF14" i="4"/>
  <c r="C4" i="4"/>
  <c r="I14" i="4"/>
  <c r="Q14" i="4"/>
  <c r="Y14" i="4"/>
  <c r="AG14" i="4"/>
  <c r="O14" i="4"/>
  <c r="AE14" i="4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J14" i="4"/>
  <c r="R14" i="4"/>
  <c r="Z14" i="4"/>
  <c r="AH14" i="4"/>
  <c r="K14" i="4"/>
  <c r="S14" i="4"/>
  <c r="AA14" i="4"/>
  <c r="AC14" i="3"/>
  <c r="O14" i="3"/>
  <c r="W14" i="3"/>
  <c r="AE14" i="3"/>
  <c r="F11" i="3"/>
  <c r="G14" i="3" s="1"/>
  <c r="H14" i="3"/>
  <c r="P14" i="3"/>
  <c r="X14" i="3"/>
  <c r="AF14" i="3"/>
  <c r="C4" i="3"/>
  <c r="I14" i="3"/>
  <c r="Q14" i="3"/>
  <c r="Y14" i="3"/>
  <c r="V14" i="2"/>
  <c r="AD14" i="2"/>
  <c r="W14" i="2"/>
  <c r="H14" i="2"/>
  <c r="P14" i="2"/>
  <c r="X14" i="2"/>
  <c r="AF14" i="2"/>
  <c r="O14" i="2"/>
  <c r="AE14" i="2"/>
  <c r="C4" i="2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I14" i="2"/>
  <c r="Q14" i="2"/>
  <c r="Y14" i="2"/>
  <c r="C4" i="1"/>
  <c r="AF13" i="4" l="1"/>
  <c r="X13" i="4"/>
  <c r="P13" i="4"/>
  <c r="H13" i="4"/>
  <c r="AB13" i="4"/>
  <c r="J13" i="4"/>
  <c r="AE13" i="4"/>
  <c r="W13" i="4"/>
  <c r="O13" i="4"/>
  <c r="G13" i="4"/>
  <c r="T13" i="4"/>
  <c r="AI13" i="4"/>
  <c r="AA13" i="4"/>
  <c r="S13" i="4"/>
  <c r="K13" i="4"/>
  <c r="AD13" i="4"/>
  <c r="V13" i="4"/>
  <c r="N13" i="4"/>
  <c r="AH13" i="4"/>
  <c r="Z13" i="4"/>
  <c r="R13" i="4"/>
  <c r="AG13" i="4"/>
  <c r="Q13" i="4"/>
  <c r="I13" i="4"/>
  <c r="AC13" i="4"/>
  <c r="U13" i="4"/>
  <c r="M13" i="4"/>
  <c r="L13" i="4"/>
  <c r="Y13" i="4"/>
  <c r="AD13" i="3"/>
  <c r="V13" i="3"/>
  <c r="N13" i="3"/>
  <c r="AA13" i="3"/>
  <c r="X13" i="3"/>
  <c r="O13" i="3"/>
  <c r="AC13" i="3"/>
  <c r="U13" i="3"/>
  <c r="M13" i="3"/>
  <c r="AI13" i="3"/>
  <c r="S13" i="3"/>
  <c r="AG13" i="3"/>
  <c r="Y13" i="3"/>
  <c r="I13" i="3"/>
  <c r="P13" i="3"/>
  <c r="AE13" i="3"/>
  <c r="G13" i="3"/>
  <c r="AB13" i="3"/>
  <c r="T13" i="3"/>
  <c r="L13" i="3"/>
  <c r="K13" i="3"/>
  <c r="AH13" i="3"/>
  <c r="Z13" i="3"/>
  <c r="R13" i="3"/>
  <c r="J13" i="3"/>
  <c r="Q13" i="3"/>
  <c r="AF13" i="3"/>
  <c r="H13" i="3"/>
  <c r="W13" i="3"/>
  <c r="AE13" i="2"/>
  <c r="W13" i="2"/>
  <c r="O13" i="2"/>
  <c r="G13" i="2"/>
  <c r="U13" i="2"/>
  <c r="AB13" i="2"/>
  <c r="T13" i="2"/>
  <c r="L13" i="2"/>
  <c r="AI13" i="2"/>
  <c r="AA13" i="2"/>
  <c r="S13" i="2"/>
  <c r="K13" i="2"/>
  <c r="AH13" i="2"/>
  <c r="Z13" i="2"/>
  <c r="R13" i="2"/>
  <c r="J13" i="2"/>
  <c r="AF13" i="2"/>
  <c r="P13" i="2"/>
  <c r="AD13" i="2"/>
  <c r="V13" i="2"/>
  <c r="N13" i="2"/>
  <c r="AC13" i="2"/>
  <c r="M13" i="2"/>
  <c r="AG13" i="2"/>
  <c r="Q13" i="2"/>
  <c r="X13" i="2"/>
  <c r="H13" i="2"/>
  <c r="Y13" i="2"/>
  <c r="I13" i="2"/>
  <c r="AH13" i="1"/>
  <c r="Z13" i="1"/>
  <c r="R13" i="1"/>
  <c r="J13" i="1"/>
  <c r="X13" i="1"/>
  <c r="P13" i="1"/>
  <c r="AG13" i="1"/>
  <c r="Y13" i="1"/>
  <c r="Q13" i="1"/>
  <c r="I13" i="1"/>
  <c r="AF13" i="1"/>
  <c r="H13" i="1"/>
  <c r="AB13" i="1"/>
  <c r="L13" i="1"/>
  <c r="AA13" i="1"/>
  <c r="K13" i="1"/>
  <c r="AE13" i="1"/>
  <c r="W13" i="1"/>
  <c r="O13" i="1"/>
  <c r="G13" i="1"/>
  <c r="M13" i="1"/>
  <c r="T13" i="1"/>
  <c r="AI13" i="1"/>
  <c r="S13" i="1"/>
  <c r="AD13" i="1"/>
  <c r="V13" i="1"/>
  <c r="N13" i="1"/>
  <c r="AC13" i="1"/>
  <c r="U13" i="1"/>
</calcChain>
</file>

<file path=xl/sharedStrings.xml><?xml version="1.0" encoding="utf-8"?>
<sst xmlns="http://schemas.openxmlformats.org/spreadsheetml/2006/main" count="53" uniqueCount="16">
  <si>
    <t>L</t>
  </si>
  <si>
    <t>dx</t>
  </si>
  <si>
    <t>dt</t>
  </si>
  <si>
    <t>t</t>
  </si>
  <si>
    <t>Cp</t>
  </si>
  <si>
    <t>ro</t>
  </si>
  <si>
    <t>lambda</t>
  </si>
  <si>
    <t>T_start</t>
  </si>
  <si>
    <t>T</t>
  </si>
  <si>
    <t>T_end</t>
  </si>
  <si>
    <t>T_i</t>
  </si>
  <si>
    <t>q_start</t>
  </si>
  <si>
    <t>q</t>
  </si>
  <si>
    <t>T_gas</t>
  </si>
  <si>
    <t>alpha</t>
  </si>
  <si>
    <t>lambda_air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</si>
</sst>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125"/>
          <c:w val="0.86807874015748032"/>
          <c:h val="0.7676006124234470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1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'Граничные условия 1 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B2-459B-9463-545EAB6A7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297704"/>
        <c:axId val="407298032"/>
      </c:scatterChart>
      <c:valAx>
        <c:axId val="407297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298032"/>
        <c:crosses val="autoZero"/>
        <c:crossBetween val="midCat"/>
      </c:valAx>
      <c:valAx>
        <c:axId val="40729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297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24759405074367"/>
          <c:y val="0.1111111111111111"/>
          <c:w val="0.84307874015748019"/>
          <c:h val="0.7814895013123359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2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'Граничные условия 2 рода'!$F$11:$AJ$11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7B-4249-8157-07988F4E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33120"/>
        <c:axId val="509833448"/>
      </c:scatterChart>
      <c:valAx>
        <c:axId val="509833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9833448"/>
        <c:crosses val="autoZero"/>
        <c:crossBetween val="midCat"/>
      </c:valAx>
      <c:valAx>
        <c:axId val="50983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983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2537182852144"/>
          <c:y val="0.13425925925925927"/>
          <c:w val="0.84030096237970253"/>
          <c:h val="0.7583413531641878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3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'Граничные условия 3 рода'!$F$11:$AJ$11</c:f>
              <c:numCache>
                <c:formatCode>General</c:formatCode>
                <c:ptCount val="31"/>
                <c:pt idx="0">
                  <c:v>117.90322154365064</c:v>
                </c:pt>
                <c:pt idx="1">
                  <c:v>117.07191016374124</c:v>
                </c:pt>
                <c:pt idx="2">
                  <c:v>116.26008853656475</c:v>
                </c:pt>
                <c:pt idx="3">
                  <c:v>115.46778233946264</c:v>
                </c:pt>
                <c:pt idx="4">
                  <c:v>114.69496142404105</c:v>
                </c:pt>
                <c:pt idx="5">
                  <c:v>113.94152570375303</c:v>
                </c:pt>
                <c:pt idx="6">
                  <c:v>113.20732657253386</c:v>
                </c:pt>
                <c:pt idx="7">
                  <c:v>112.49213960697028</c:v>
                </c:pt>
                <c:pt idx="8">
                  <c:v>111.79569937783657</c:v>
                </c:pt>
                <c:pt idx="9">
                  <c:v>111.11766021636133</c:v>
                </c:pt>
                <c:pt idx="10">
                  <c:v>110.45764286764161</c:v>
                </c:pt>
                <c:pt idx="11">
                  <c:v>109.81518512217514</c:v>
                </c:pt>
                <c:pt idx="12">
                  <c:v>109.189798237118</c:v>
                </c:pt>
                <c:pt idx="13">
                  <c:v>108.58090970415985</c:v>
                </c:pt>
                <c:pt idx="14">
                  <c:v>107.98792693487503</c:v>
                </c:pt>
                <c:pt idx="15">
                  <c:v>107.41017480279598</c:v>
                </c:pt>
                <c:pt idx="16">
                  <c:v>106.84696377196019</c:v>
                </c:pt>
                <c:pt idx="17">
                  <c:v>106.29752509796486</c:v>
                </c:pt>
                <c:pt idx="18">
                  <c:v>105.76108038842628</c:v>
                </c:pt>
                <c:pt idx="19">
                  <c:v>105.23677746358254</c:v>
                </c:pt>
                <c:pt idx="20">
                  <c:v>104.72375828223019</c:v>
                </c:pt>
                <c:pt idx="21">
                  <c:v>104.22109844172506</c:v>
                </c:pt>
                <c:pt idx="22">
                  <c:v>103.72787048541602</c:v>
                </c:pt>
                <c:pt idx="23">
                  <c:v>103.24308986549833</c:v>
                </c:pt>
                <c:pt idx="24">
                  <c:v>102.76577086419238</c:v>
                </c:pt>
                <c:pt idx="25">
                  <c:v>102.29488155779615</c:v>
                </c:pt>
                <c:pt idx="26">
                  <c:v>101.82938992399244</c:v>
                </c:pt>
                <c:pt idx="27">
                  <c:v>101.3682299444238</c:v>
                </c:pt>
                <c:pt idx="28">
                  <c:v>100.91033591910457</c:v>
                </c:pt>
                <c:pt idx="29">
                  <c:v>100.45462134595324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71-4D98-A83B-C0518E15E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180888"/>
        <c:axId val="413181544"/>
      </c:scatterChart>
      <c:valAx>
        <c:axId val="41318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181544"/>
        <c:crosses val="autoZero"/>
        <c:crossBetween val="midCat"/>
      </c:valAx>
      <c:valAx>
        <c:axId val="41318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180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692038495188095E-2"/>
          <c:y val="0.12037037037037036"/>
          <c:w val="0.84863429571303572"/>
          <c:h val="0.7722302420530766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4 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'Граничные условия 4 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293.31482502251492</c:v>
                </c:pt>
                <c:pt idx="2">
                  <c:v>286.63005449602781</c:v>
                </c:pt>
                <c:pt idx="3">
                  <c:v>279.94528396954064</c:v>
                </c:pt>
                <c:pt idx="4">
                  <c:v>273.26170911959787</c:v>
                </c:pt>
                <c:pt idx="5">
                  <c:v>266.57813426965504</c:v>
                </c:pt>
                <c:pt idx="6">
                  <c:v>259.89649406500041</c:v>
                </c:pt>
                <c:pt idx="7">
                  <c:v>253.21485386034581</c:v>
                </c:pt>
                <c:pt idx="8">
                  <c:v>246.53580271644057</c:v>
                </c:pt>
                <c:pt idx="9">
                  <c:v>239.85675157253536</c:v>
                </c:pt>
                <c:pt idx="10">
                  <c:v>233.18083075046212</c:v>
                </c:pt>
                <c:pt idx="11">
                  <c:v>226.50490992838888</c:v>
                </c:pt>
                <c:pt idx="12">
                  <c:v>219.8325238791451</c:v>
                </c:pt>
                <c:pt idx="13">
                  <c:v>213.16013782990132</c:v>
                </c:pt>
                <c:pt idx="14">
                  <c:v>206.49153651794995</c:v>
                </c:pt>
                <c:pt idx="15">
                  <c:v>199.82293520599862</c:v>
                </c:pt>
                <c:pt idx="16">
                  <c:v>193.15820318462175</c:v>
                </c:pt>
                <c:pt idx="17">
                  <c:v>186.49347116324492</c:v>
                </c:pt>
                <c:pt idx="18">
                  <c:v>179.83252387915962</c:v>
                </c:pt>
                <c:pt idx="19">
                  <c:v>173.17157659507436</c:v>
                </c:pt>
                <c:pt idx="20">
                  <c:v>166.51416408381687</c:v>
                </c:pt>
                <c:pt idx="21">
                  <c:v>159.8567515725594</c:v>
                </c:pt>
                <c:pt idx="22">
                  <c:v>153.20246938313187</c:v>
                </c:pt>
                <c:pt idx="23">
                  <c:v>146.54818719370431</c:v>
                </c:pt>
                <c:pt idx="24">
                  <c:v>139.89649406502394</c:v>
                </c:pt>
                <c:pt idx="25">
                  <c:v>133.24480093634361</c:v>
                </c:pt>
                <c:pt idx="26">
                  <c:v>126.59504245294956</c:v>
                </c:pt>
                <c:pt idx="27">
                  <c:v>119.9452839695555</c:v>
                </c:pt>
                <c:pt idx="28">
                  <c:v>113.29672116270451</c:v>
                </c:pt>
                <c:pt idx="29">
                  <c:v>106.64815835585352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F4-47CF-89ED-EA6D7E14A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200896"/>
        <c:axId val="413204504"/>
      </c:scatterChart>
      <c:valAx>
        <c:axId val="41320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204504"/>
        <c:crosses val="autoZero"/>
        <c:crossBetween val="midCat"/>
      </c:valAx>
      <c:valAx>
        <c:axId val="41320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20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601980</xdr:colOff>
      <xdr:row>13</xdr:row>
      <xdr:rowOff>179070</xdr:rowOff>
    </xdr:from>
    <xdr:to>
      <xdr:col>11</xdr:col>
      <xdr:colOff>297180</xdr:colOff>
      <xdr:row>28</xdr:row>
      <xdr:rowOff>179070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7620</xdr:rowOff>
        </xdr:from>
        <xdr:to>
          <xdr:col>3</xdr:col>
          <xdr:colOff>0</xdr:colOff>
          <xdr:row>16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0.13379</cdr:x>
      <cdr:y>0.12519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60881" cy="29263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0.90933</cdr:x>
      <cdr:y>0.90741</cdr:y>
    </cdr:from>
    <cdr:to>
      <cdr:x>1</cdr:x>
      <cdr:y>0.98297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7436" y="2489200"/>
          <a:ext cx="414564" cy="2072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16</xdr:row>
      <xdr:rowOff>57150</xdr:rowOff>
    </xdr:from>
    <xdr:to>
      <xdr:col>14</xdr:col>
      <xdr:colOff>571500</xdr:colOff>
      <xdr:row>31</xdr:row>
      <xdr:rowOff>57150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12</xdr:row>
          <xdr:rowOff>167640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0.90611</cdr:x>
      <cdr:y>0.91574</cdr:y>
    </cdr:from>
    <cdr:to>
      <cdr:x>0.99679</cdr:x>
      <cdr:y>0.9913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142740" y="2512060"/>
          <a:ext cx="414564" cy="2072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0.01111</cdr:x>
      <cdr:y>0.01852</cdr:y>
    </cdr:from>
    <cdr:to>
      <cdr:x>0.13379</cdr:x>
      <cdr:y>0.12519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60881" cy="29263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601980</xdr:colOff>
      <xdr:row>14</xdr:row>
      <xdr:rowOff>171450</xdr:rowOff>
    </xdr:from>
    <xdr:to>
      <xdr:col>11</xdr:col>
      <xdr:colOff>297180</xdr:colOff>
      <xdr:row>29</xdr:row>
      <xdr:rowOff>171450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17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0.13379</cdr:x>
      <cdr:y>0.12519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60881" cy="29263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0.90933</cdr:x>
      <cdr:y>0.91296</cdr:y>
    </cdr:from>
    <cdr:to>
      <cdr:x>1</cdr:x>
      <cdr:y>0.98853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7436" y="2504440"/>
          <a:ext cx="414564" cy="2072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14</xdr:row>
      <xdr:rowOff>171450</xdr:rowOff>
    </xdr:from>
    <xdr:to>
      <xdr:col>12</xdr:col>
      <xdr:colOff>304800</xdr:colOff>
      <xdr:row>29</xdr:row>
      <xdr:rowOff>171450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16</xdr:row>
          <xdr:rowOff>7620</xdr:rowOff>
        </xdr:from>
        <xdr:to>
          <xdr:col>3</xdr:col>
          <xdr:colOff>7620</xdr:colOff>
          <xdr:row>19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0.015</cdr:x>
      <cdr:y>0.01667</cdr:y>
    </cdr:from>
    <cdr:to>
      <cdr:x>0.13768</cdr:x>
      <cdr:y>0.12334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8580" y="45720"/>
          <a:ext cx="560881" cy="29263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0.90333</cdr:x>
      <cdr:y>0.90278</cdr:y>
    </cdr:from>
    <cdr:to>
      <cdr:x>0.99401</cdr:x>
      <cdr:y>0.97834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30040" y="2476500"/>
          <a:ext cx="414564" cy="2072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J13"/>
  <sheetViews>
    <sheetView tabSelected="1" workbookViewId="0">
      <selection activeCell="M24" sqref="M24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7</v>
      </c>
      <c r="C11" s="1">
        <v>300</v>
      </c>
      <c r="E11" t="s">
        <v>8</v>
      </c>
      <c r="F11">
        <f>C11</f>
        <v>300</v>
      </c>
      <c r="G11">
        <v>280.34602914679897</v>
      </c>
      <c r="H11">
        <v>260.69205829359794</v>
      </c>
      <c r="I11">
        <v>241.69187227593491</v>
      </c>
      <c r="J11">
        <v>222.69168625827183</v>
      </c>
      <c r="K11">
        <v>204.95390631913148</v>
      </c>
      <c r="L11">
        <v>187.21612637999107</v>
      </c>
      <c r="M11">
        <v>171.26453784334268</v>
      </c>
      <c r="N11">
        <v>155.31294930669429</v>
      </c>
      <c r="O11">
        <v>141.55671337374599</v>
      </c>
      <c r="P11">
        <v>127.80047744079765</v>
      </c>
      <c r="Q11">
        <v>116.51671674932982</v>
      </c>
      <c r="R11">
        <v>105.23295605786197</v>
      </c>
      <c r="S11">
        <v>96.561989352755049</v>
      </c>
      <c r="T11">
        <v>87.891022647648128</v>
      </c>
      <c r="U11">
        <v>81.842538774051832</v>
      </c>
      <c r="V11">
        <v>75.794054900455549</v>
      </c>
      <c r="W11">
        <v>72.261187114604226</v>
      </c>
      <c r="X11">
        <v>68.728319328752917</v>
      </c>
      <c r="Y11">
        <v>67.506108522455037</v>
      </c>
      <c r="Z11">
        <v>66.283897716157142</v>
      </c>
      <c r="AA11">
        <v>67.088962026000345</v>
      </c>
      <c r="AB11">
        <v>67.894026335843549</v>
      </c>
      <c r="AC11">
        <v>70.383127200086093</v>
      </c>
      <c r="AD11">
        <v>72.872228064328638</v>
      </c>
      <c r="AE11">
        <v>76.658491877071754</v>
      </c>
      <c r="AF11">
        <v>80.444755689814855</v>
      </c>
      <c r="AG11">
        <v>85.111263870845988</v>
      </c>
      <c r="AH11">
        <v>89.777772051877108</v>
      </c>
      <c r="AI11">
        <v>94.888886025938547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280.34602914679897</v>
      </c>
      <c r="H13">
        <f>H11+(($C$9*$C$4)/($C$8*$C$7))*((I11-2*H11+G11)/($C$3^2))</f>
        <v>261.01895071136693</v>
      </c>
      <c r="I13">
        <f>I11+(($C$9*$C$4)/($C$8*$C$7))*((J11-2*I11+H11)/($C$3^2))</f>
        <v>241.69187227593488</v>
      </c>
      <c r="J13">
        <f t="shared" ref="J13:AI13" si="1">J11+(($C$9*$C$4)/($C$8*$C$7))*((K11-2*J11+I11)/($C$3^2))</f>
        <v>223.32288929753321</v>
      </c>
      <c r="K13">
        <f t="shared" si="1"/>
        <v>204.95390631913145</v>
      </c>
      <c r="L13">
        <f t="shared" si="1"/>
        <v>188.10922208123708</v>
      </c>
      <c r="M13">
        <f t="shared" si="1"/>
        <v>171.26453784334268</v>
      </c>
      <c r="N13">
        <f t="shared" si="1"/>
        <v>156.41062560854434</v>
      </c>
      <c r="O13">
        <f t="shared" si="1"/>
        <v>141.55671337374596</v>
      </c>
      <c r="P13">
        <f t="shared" si="1"/>
        <v>129.0367150615379</v>
      </c>
      <c r="Q13">
        <f t="shared" si="1"/>
        <v>116.51671674932982</v>
      </c>
      <c r="R13">
        <f t="shared" si="1"/>
        <v>106.53935305104244</v>
      </c>
      <c r="S13">
        <f t="shared" si="1"/>
        <v>96.561989352755049</v>
      </c>
      <c r="T13">
        <f t="shared" si="1"/>
        <v>89.202264063403447</v>
      </c>
      <c r="U13">
        <f t="shared" si="1"/>
        <v>81.842538774051832</v>
      </c>
      <c r="V13">
        <f t="shared" si="1"/>
        <v>77.051862944328036</v>
      </c>
      <c r="W13">
        <f t="shared" si="1"/>
        <v>72.26118711460424</v>
      </c>
      <c r="X13">
        <f t="shared" si="1"/>
        <v>69.883647818529624</v>
      </c>
      <c r="Y13">
        <f t="shared" si="1"/>
        <v>67.506108522455037</v>
      </c>
      <c r="Z13">
        <f>Z11+(($C$9*$C$4)/($C$8*$C$7))*((AA11-2*Z11+Y11)/($C$3^2))</f>
        <v>67.297535274227698</v>
      </c>
      <c r="AA13">
        <f t="shared" si="1"/>
        <v>67.088962026000345</v>
      </c>
      <c r="AB13">
        <f t="shared" si="1"/>
        <v>68.736044613043219</v>
      </c>
      <c r="AC13">
        <f t="shared" si="1"/>
        <v>70.383127200086093</v>
      </c>
      <c r="AD13">
        <f t="shared" si="1"/>
        <v>73.520809538578931</v>
      </c>
      <c r="AE13">
        <f t="shared" si="1"/>
        <v>76.658491877071754</v>
      </c>
      <c r="AF13">
        <f t="shared" si="1"/>
        <v>80.884877873958871</v>
      </c>
      <c r="AG13">
        <f t="shared" si="1"/>
        <v>85.111263870845988</v>
      </c>
      <c r="AH13">
        <f t="shared" si="1"/>
        <v>90.000074948392268</v>
      </c>
      <c r="AI13">
        <f t="shared" si="1"/>
        <v>94.888886025938547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umov_iterat">
                <anchor moveWithCells="1" sizeWithCells="1">
                  <from>
                    <xdr:col>1</xdr:col>
                    <xdr:colOff>7620</xdr:colOff>
                    <xdr:row>13</xdr:row>
                    <xdr:rowOff>7620</xdr:rowOff>
                  </from>
                  <to>
                    <xdr:col>3</xdr:col>
                    <xdr:colOff>0</xdr:colOff>
                    <xdr:row>16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2:AJ14"/>
  <sheetViews>
    <sheetView workbookViewId="0">
      <selection activeCell="N15" sqref="N15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11</v>
      </c>
      <c r="C11" s="1">
        <v>92000</v>
      </c>
      <c r="E11" t="s">
        <v>8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36" x14ac:dyDescent="0.3">
      <c r="E14" t="s">
        <v>12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aumov_iterat">
                <anchor moveWithCells="1" sizeWithCells="1">
                  <from>
                    <xdr:col>0</xdr:col>
                    <xdr:colOff>594360</xdr:colOff>
                    <xdr:row>12</xdr:row>
                    <xdr:rowOff>167640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2:AJ14"/>
  <sheetViews>
    <sheetView workbookViewId="0">
      <selection activeCell="C21" sqref="C21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1000</v>
      </c>
      <c r="D5">
        <v>1000.4333333333333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13</v>
      </c>
      <c r="C11" s="1">
        <v>300</v>
      </c>
      <c r="E11" t="s">
        <v>8</v>
      </c>
      <c r="F11">
        <f>(C14*C3*C11+C9*G11)/(C3*C14+C9)</f>
        <v>117.90322154365064</v>
      </c>
      <c r="G11">
        <v>117.07191016374124</v>
      </c>
      <c r="H11">
        <v>116.26008853656475</v>
      </c>
      <c r="I11">
        <v>115.46778233946264</v>
      </c>
      <c r="J11">
        <v>114.69496142404105</v>
      </c>
      <c r="K11">
        <v>113.94152570375303</v>
      </c>
      <c r="L11">
        <v>113.20732657253386</v>
      </c>
      <c r="M11">
        <v>112.49213960697028</v>
      </c>
      <c r="N11">
        <v>111.79569937783657</v>
      </c>
      <c r="O11">
        <v>111.11766021636133</v>
      </c>
      <c r="P11">
        <v>110.45764286764161</v>
      </c>
      <c r="Q11">
        <v>109.81518512217514</v>
      </c>
      <c r="R11">
        <v>109.189798237118</v>
      </c>
      <c r="S11">
        <v>108.58090970415985</v>
      </c>
      <c r="T11">
        <v>107.98792693487503</v>
      </c>
      <c r="U11">
        <v>107.41017480279598</v>
      </c>
      <c r="V11">
        <v>106.84696377196019</v>
      </c>
      <c r="W11">
        <v>106.29752509796486</v>
      </c>
      <c r="X11">
        <v>105.76108038842628</v>
      </c>
      <c r="Y11">
        <v>105.23677746358254</v>
      </c>
      <c r="Z11">
        <v>104.72375828223019</v>
      </c>
      <c r="AA11">
        <v>104.22109844172506</v>
      </c>
      <c r="AB11">
        <v>103.72787048541602</v>
      </c>
      <c r="AC11">
        <v>103.24308986549833</v>
      </c>
      <c r="AD11">
        <v>102.76577086419238</v>
      </c>
      <c r="AE11">
        <v>102.29488155779615</v>
      </c>
      <c r="AF11">
        <v>101.82938992399244</v>
      </c>
      <c r="AG11">
        <v>101.3682299444238</v>
      </c>
      <c r="AH11">
        <v>100.91033591910457</v>
      </c>
      <c r="AI11">
        <v>100.45462134595324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117.08165504010771</v>
      </c>
      <c r="H13">
        <f t="shared" ref="H13:AI13" si="1">H11+(($C$9*$C$4)/($C$8*$C$7))*((I11-2*H11+G11)/($C$3^2))</f>
        <v>116.26984625160193</v>
      </c>
      <c r="I13">
        <f t="shared" si="1"/>
        <v>115.4775249803029</v>
      </c>
      <c r="J13">
        <f t="shared" si="1"/>
        <v>114.70465402160784</v>
      </c>
      <c r="K13">
        <f t="shared" si="1"/>
        <v>113.95114399828745</v>
      </c>
      <c r="L13">
        <f t="shared" si="1"/>
        <v>113.21683265536166</v>
      </c>
      <c r="M13">
        <f t="shared" si="1"/>
        <v>112.50151297518522</v>
      </c>
      <c r="N13">
        <f t="shared" si="1"/>
        <v>111.80489991166581</v>
      </c>
      <c r="O13">
        <f t="shared" si="1"/>
        <v>111.12667112273908</v>
      </c>
      <c r="P13">
        <f t="shared" si="1"/>
        <v>110.46642266926824</v>
      </c>
      <c r="Q13">
        <f t="shared" si="1"/>
        <v>109.8237205523798</v>
      </c>
      <c r="R13">
        <f t="shared" si="1"/>
        <v>109.1980474131675</v>
      </c>
      <c r="S13">
        <f t="shared" si="1"/>
        <v>108.58886258599651</v>
      </c>
      <c r="T13">
        <f t="shared" si="1"/>
        <v>107.99554225347791</v>
      </c>
      <c r="U13">
        <f t="shared" si="1"/>
        <v>107.41744535341761</v>
      </c>
      <c r="V13">
        <f t="shared" si="1"/>
        <v>106.85384995038042</v>
      </c>
      <c r="W13">
        <f t="shared" si="1"/>
        <v>106.30402208019323</v>
      </c>
      <c r="X13">
        <f t="shared" si="1"/>
        <v>105.7671512807737</v>
      </c>
      <c r="Y13">
        <f t="shared" si="1"/>
        <v>105.24241933532824</v>
      </c>
      <c r="Z13">
        <f t="shared" si="1"/>
        <v>104.72893795265381</v>
      </c>
      <c r="AA13">
        <f t="shared" si="1"/>
        <v>104.22581438382311</v>
      </c>
      <c r="AB13">
        <f t="shared" si="1"/>
        <v>103.7320941536117</v>
      </c>
      <c r="AC13">
        <f t="shared" si="1"/>
        <v>103.2468206748042</v>
      </c>
      <c r="AD13">
        <f t="shared" si="1"/>
        <v>102.76898571164725</v>
      </c>
      <c r="AE13">
        <f t="shared" si="1"/>
        <v>102.29758039409241</v>
      </c>
      <c r="AF13">
        <f t="shared" si="1"/>
        <v>101.83155575110997</v>
      </c>
      <c r="AG13">
        <f t="shared" si="1"/>
        <v>101.3698629215485</v>
      </c>
      <c r="AH13">
        <f t="shared" si="1"/>
        <v>100.91142564518853</v>
      </c>
      <c r="AI13">
        <f t="shared" si="1"/>
        <v>100.45516795955228</v>
      </c>
    </row>
    <row r="14" spans="2:36" x14ac:dyDescent="0.3">
      <c r="B14" s="1" t="s">
        <v>14</v>
      </c>
      <c r="C14" s="1">
        <v>63</v>
      </c>
      <c r="E14" t="s">
        <v>12</v>
      </c>
      <c r="G14">
        <f>-$C$9*((G11-F11)/$C$3)</f>
        <v>11472.097042749832</v>
      </c>
      <c r="H14">
        <f t="shared" ref="H14:AI14" si="2">-$C$9*((H11-G11)/$C$3)</f>
        <v>11203.138455035492</v>
      </c>
      <c r="I14">
        <f t="shared" si="2"/>
        <v>10933.825520009075</v>
      </c>
      <c r="J14">
        <f t="shared" si="2"/>
        <v>10664.928632817946</v>
      </c>
      <c r="K14">
        <f t="shared" si="2"/>
        <v>10397.412939974736</v>
      </c>
      <c r="L14">
        <f t="shared" si="2"/>
        <v>10131.948010824559</v>
      </c>
      <c r="M14">
        <f t="shared" si="2"/>
        <v>9869.5801247773343</v>
      </c>
      <c r="N14">
        <f t="shared" si="2"/>
        <v>9610.8751620452495</v>
      </c>
      <c r="O14">
        <f t="shared" si="2"/>
        <v>9356.9404283583171</v>
      </c>
      <c r="P14">
        <f t="shared" si="2"/>
        <v>9108.2394123321301</v>
      </c>
      <c r="Q14">
        <f t="shared" si="2"/>
        <v>8865.9168874373245</v>
      </c>
      <c r="R14">
        <f t="shared" si="2"/>
        <v>8630.3390137885235</v>
      </c>
      <c r="S14">
        <f t="shared" si="2"/>
        <v>8402.6617548224331</v>
      </c>
      <c r="T14">
        <f t="shared" si="2"/>
        <v>8183.1622161304667</v>
      </c>
      <c r="U14">
        <f t="shared" si="2"/>
        <v>7972.9794226909662</v>
      </c>
      <c r="V14">
        <f t="shared" si="2"/>
        <v>7772.3122255338749</v>
      </c>
      <c r="W14">
        <f t="shared" si="2"/>
        <v>7582.2537011354943</v>
      </c>
      <c r="X14">
        <f t="shared" si="2"/>
        <v>7402.9369916324813</v>
      </c>
      <c r="Y14">
        <f t="shared" si="2"/>
        <v>7235.3803628435853</v>
      </c>
      <c r="Z14">
        <f t="shared" si="2"/>
        <v>7079.6647026624041</v>
      </c>
      <c r="AA14">
        <f t="shared" si="2"/>
        <v>6936.7057989708173</v>
      </c>
      <c r="AB14">
        <f t="shared" si="2"/>
        <v>6806.5457970647767</v>
      </c>
      <c r="AC14">
        <f t="shared" si="2"/>
        <v>6689.9725548640645</v>
      </c>
      <c r="AD14">
        <f t="shared" si="2"/>
        <v>6587.0022180222149</v>
      </c>
      <c r="AE14">
        <f t="shared" si="2"/>
        <v>6498.2724282679837</v>
      </c>
      <c r="AF14">
        <f t="shared" si="2"/>
        <v>6423.7845464911743</v>
      </c>
      <c r="AG14">
        <f t="shared" si="2"/>
        <v>6364.0077180471562</v>
      </c>
      <c r="AH14">
        <f t="shared" si="2"/>
        <v>6318.9375494054329</v>
      </c>
      <c r="AI14">
        <f t="shared" si="2"/>
        <v>6288.8611094882972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aumov_iterat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2:AJ14"/>
  <sheetViews>
    <sheetView workbookViewId="0">
      <selection activeCell="B30" sqref="B30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400</v>
      </c>
      <c r="D5">
        <v>400.40000000000009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13</v>
      </c>
      <c r="C11" s="1">
        <v>300</v>
      </c>
      <c r="E11" t="s">
        <v>8</v>
      </c>
      <c r="F11">
        <f>C11</f>
        <v>300</v>
      </c>
      <c r="G11">
        <v>293.31482502251492</v>
      </c>
      <c r="H11">
        <v>286.63005449602781</v>
      </c>
      <c r="I11">
        <v>279.94528396954064</v>
      </c>
      <c r="J11">
        <v>273.26170911959787</v>
      </c>
      <c r="K11">
        <v>266.57813426965504</v>
      </c>
      <c r="L11">
        <v>259.89649406500041</v>
      </c>
      <c r="M11">
        <v>253.21485386034581</v>
      </c>
      <c r="N11">
        <v>246.53580271644057</v>
      </c>
      <c r="O11">
        <v>239.85675157253536</v>
      </c>
      <c r="P11">
        <v>233.18083075046212</v>
      </c>
      <c r="Q11">
        <v>226.50490992838888</v>
      </c>
      <c r="R11">
        <v>219.8325238791451</v>
      </c>
      <c r="S11">
        <v>213.16013782990132</v>
      </c>
      <c r="T11">
        <v>206.49153651794995</v>
      </c>
      <c r="U11">
        <v>199.82293520599862</v>
      </c>
      <c r="V11">
        <v>193.15820318462175</v>
      </c>
      <c r="W11">
        <v>186.49347116324492</v>
      </c>
      <c r="X11">
        <v>179.83252387915962</v>
      </c>
      <c r="Y11">
        <v>173.17157659507436</v>
      </c>
      <c r="Z11">
        <v>166.51416408381687</v>
      </c>
      <c r="AA11">
        <v>159.8567515725594</v>
      </c>
      <c r="AB11">
        <v>153.20246938313187</v>
      </c>
      <c r="AC11">
        <v>146.54818719370431</v>
      </c>
      <c r="AD11">
        <v>139.89649406502394</v>
      </c>
      <c r="AE11">
        <v>133.24480093634361</v>
      </c>
      <c r="AF11">
        <v>126.59504245294956</v>
      </c>
      <c r="AG11">
        <v>119.9452839695555</v>
      </c>
      <c r="AH11">
        <v>113.29672116270451</v>
      </c>
      <c r="AI11">
        <v>106.64815835585352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293.31502724801391</v>
      </c>
      <c r="H13">
        <f t="shared" ref="H13:AI13" si="1">H11+(($C$9*$C$4)/($C$8*$C$7))*((I11-2*H11+G11)/($C$3^2))</f>
        <v>286.63005449602781</v>
      </c>
      <c r="I13">
        <f t="shared" si="1"/>
        <v>279.94588180781284</v>
      </c>
      <c r="J13">
        <f t="shared" si="1"/>
        <v>273.26170911959787</v>
      </c>
      <c r="K13">
        <f t="shared" si="1"/>
        <v>266.57910159229914</v>
      </c>
      <c r="L13">
        <f t="shared" si="1"/>
        <v>259.89649406500041</v>
      </c>
      <c r="M13">
        <f t="shared" si="1"/>
        <v>253.21614839072049</v>
      </c>
      <c r="N13">
        <f t="shared" si="1"/>
        <v>246.53580271644057</v>
      </c>
      <c r="O13">
        <f t="shared" si="1"/>
        <v>239.85831673345135</v>
      </c>
      <c r="P13">
        <f t="shared" si="1"/>
        <v>233.18083075046212</v>
      </c>
      <c r="Q13">
        <f t="shared" si="1"/>
        <v>226.5066773148036</v>
      </c>
      <c r="R13">
        <f t="shared" si="1"/>
        <v>219.8325238791451</v>
      </c>
      <c r="S13">
        <f t="shared" si="1"/>
        <v>213.16203019854754</v>
      </c>
      <c r="T13">
        <f t="shared" si="1"/>
        <v>206.49153651794995</v>
      </c>
      <c r="U13">
        <f t="shared" si="1"/>
        <v>199.82486985128585</v>
      </c>
      <c r="V13">
        <f t="shared" si="1"/>
        <v>193.15820318462175</v>
      </c>
      <c r="W13">
        <f t="shared" si="1"/>
        <v>186.49536353189069</v>
      </c>
      <c r="X13">
        <f t="shared" si="1"/>
        <v>179.83252387915962</v>
      </c>
      <c r="Y13">
        <f t="shared" si="1"/>
        <v>173.17334398148824</v>
      </c>
      <c r="Z13">
        <f t="shared" si="1"/>
        <v>166.51416408381687</v>
      </c>
      <c r="AA13">
        <f t="shared" si="1"/>
        <v>159.85831673347437</v>
      </c>
      <c r="AB13">
        <f t="shared" si="1"/>
        <v>153.20246938313187</v>
      </c>
      <c r="AC13">
        <f t="shared" si="1"/>
        <v>146.54948172407791</v>
      </c>
      <c r="AD13">
        <f t="shared" si="1"/>
        <v>139.89649406502394</v>
      </c>
      <c r="AE13">
        <f t="shared" si="1"/>
        <v>133.24576825898674</v>
      </c>
      <c r="AF13">
        <f t="shared" si="1"/>
        <v>126.59504245294956</v>
      </c>
      <c r="AG13">
        <f t="shared" si="1"/>
        <v>119.94588180782704</v>
      </c>
      <c r="AH13">
        <f t="shared" si="1"/>
        <v>113.29672116270451</v>
      </c>
      <c r="AI13">
        <f t="shared" si="1"/>
        <v>106.64836058135225</v>
      </c>
    </row>
    <row r="14" spans="2:36" x14ac:dyDescent="0.3">
      <c r="B14" s="1" t="s">
        <v>15</v>
      </c>
      <c r="C14" s="1">
        <v>2.5000000000000001E-2</v>
      </c>
      <c r="E14" t="s">
        <v>12</v>
      </c>
      <c r="G14">
        <f>-$C$9*((G11-F11)/$C$3)</f>
        <v>92255.414689294033</v>
      </c>
      <c r="H14">
        <f t="shared" ref="H14:AI14" si="2">-$C$9*((H11-G11)/$C$3)</f>
        <v>92249.83326552216</v>
      </c>
      <c r="I14">
        <f t="shared" si="2"/>
        <v>92249.833265522946</v>
      </c>
      <c r="J14">
        <f t="shared" si="2"/>
        <v>92233.332929210243</v>
      </c>
      <c r="K14">
        <f t="shared" si="2"/>
        <v>92233.332929211028</v>
      </c>
      <c r="L14">
        <f t="shared" si="2"/>
        <v>92206.634824233843</v>
      </c>
      <c r="M14">
        <f t="shared" si="2"/>
        <v>92206.634824233464</v>
      </c>
      <c r="N14">
        <f t="shared" si="2"/>
        <v>92170.905785892319</v>
      </c>
      <c r="O14">
        <f t="shared" si="2"/>
        <v>92170.905785891926</v>
      </c>
      <c r="P14">
        <f t="shared" si="2"/>
        <v>92127.707344610666</v>
      </c>
      <c r="Q14">
        <f t="shared" si="2"/>
        <v>92127.707344610666</v>
      </c>
      <c r="R14">
        <f t="shared" si="2"/>
        <v>92078.927479564212</v>
      </c>
      <c r="S14">
        <f t="shared" si="2"/>
        <v>92078.927479564212</v>
      </c>
      <c r="T14">
        <f t="shared" si="2"/>
        <v>92026.698104928801</v>
      </c>
      <c r="U14">
        <f t="shared" si="2"/>
        <v>92026.698104928408</v>
      </c>
      <c r="V14">
        <f t="shared" si="2"/>
        <v>91973.30189500071</v>
      </c>
      <c r="W14">
        <f t="shared" si="2"/>
        <v>91973.301895000317</v>
      </c>
      <c r="X14">
        <f t="shared" si="2"/>
        <v>91921.072520377071</v>
      </c>
      <c r="Y14">
        <f t="shared" si="2"/>
        <v>91921.072520376692</v>
      </c>
      <c r="Z14">
        <f t="shared" si="2"/>
        <v>91872.292655353362</v>
      </c>
      <c r="AA14">
        <f t="shared" si="2"/>
        <v>91872.292655352969</v>
      </c>
      <c r="AB14">
        <f t="shared" si="2"/>
        <v>91829.094214099954</v>
      </c>
      <c r="AC14">
        <f t="shared" si="2"/>
        <v>91829.094214100347</v>
      </c>
      <c r="AD14">
        <f t="shared" si="2"/>
        <v>91793.365175789018</v>
      </c>
      <c r="AE14">
        <f t="shared" si="2"/>
        <v>91793.365175788625</v>
      </c>
      <c r="AF14">
        <f t="shared" si="2"/>
        <v>91766.667070837924</v>
      </c>
      <c r="AG14">
        <f t="shared" si="2"/>
        <v>91766.667070837924</v>
      </c>
      <c r="AH14">
        <f t="shared" si="2"/>
        <v>91750.166734543644</v>
      </c>
      <c r="AI14">
        <f t="shared" si="2"/>
        <v>91750.166734543644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aumov_iterat">
                <anchor moveWithCells="1" sizeWithCells="1">
                  <from>
                    <xdr:col>0</xdr:col>
                    <xdr:colOff>601980</xdr:colOff>
                    <xdr:row>16</xdr:row>
                    <xdr:rowOff>7620</xdr:rowOff>
                  </from>
                  <to>
                    <xdr:col>3</xdr:col>
                    <xdr:colOff>7620</xdr:colOff>
                    <xdr:row>19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Граничные условия 1 рода</vt:lpstr>
      <vt:lpstr>Граничные условия 2 рода</vt:lpstr>
      <vt:lpstr>Граничные условия 3 рода</vt:lpstr>
      <vt:lpstr>Граничные условия 4 рода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2021-05-23T13:59:08Z</dcterms:created>
  <dcterms:modified xsi:type="dcterms:W3CDTF">2021-05-23T14:17:11Z</dcterms:modified>
</cp:coreProperties>
</file>